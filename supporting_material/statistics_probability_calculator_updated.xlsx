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e28072e074b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or" sheetId="1" r:id="Rd27461bd6f324dc1"/>
    <x:sheet xmlns:r="http://schemas.openxmlformats.org/officeDocument/2006/relationships" name="Worked Examples" sheetId="2" r:id="Rdc9fd4cd9be848fd"/>
    <x:sheet xmlns:r="http://schemas.openxmlformats.org/officeDocument/2006/relationships" name="Confidence &amp; Sample Size" sheetId="3" r:id="Rf8e8eed836964a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"/>
    <x:numFmt numFmtId="202" formatCode="0.00%"/>
  </x:numFmts>
  <x:fonts count="8">
    <x:font>
      <x:sz val="11"/>
      <x:name val="Carlito"/>
    </x:font>
    <x:font>
      <x:b/>
      <x:sz val="12"/>
      <x:color rgb="FFFFFFFF"/>
      <x:name val="Carlito"/>
    </x:font>
    <x:font>
      <x:b/>
      <x:sz val="18"/>
      <x:color rgb="FFFFFFFF"/>
      <x:name val="Carlito"/>
    </x:font>
    <x:font>
      <x:i/>
      <x:sz val="11"/>
      <x:color rgb="FF404040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BFBFBF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200" fontId="4" fillId="6" borderId="0" xfId="0" applyNumberFormat="1" applyFont="1" applyFill="1" applyBorder="1"/>
    <x:xf numFmtId="200" fontId="4" fillId="6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202" fontId="4" fillId="5" borderId="0" xfId="0" applyNumberFormat="1" applyFont="1" applyFill="1" applyBorder="1" applyAlignment="1">
      <x:alignment wrapText="1"/>
    </x:xf>
    <x:xf numFmtId="200" fontId="4" fillId="6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202" fontId="4" fillId="5" borderId="1" xfId="0" applyNumberFormat="1" applyFont="1" applyFill="1" applyBorder="1" applyAlignment="1">
      <x:alignment wrapText="1"/>
    </x:xf>
    <x:xf numFmtId="200" fontId="4" fillId="6" borderId="1" xfId="0" applyNumberFormat="1" applyFont="1" applyFill="1" applyBorder="1" applyAlignment="1">
      <x:alignment wrapText="1"/>
    </x:xf>
    <x:xf numFmtId="201" fontId="4" fillId="5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center" wrapText="1"/>
    </x:xf>
    <x:xf numFmtId="202" fontId="4" fillId="5" borderId="0" xfId="0" applyNumberFormat="1" applyFont="1" applyFill="1" applyBorder="1" applyAlignment="1">
      <x:alignment vertical="center" wrapText="1"/>
    </x:xf>
    <x:xf numFmtId="200" fontId="4" fillId="6" borderId="0" xfId="0" applyNumberFormat="1" applyFont="1" applyFill="1" applyBorder="1" applyAlignment="1">
      <x:alignment vertical="center" wrapText="1"/>
    </x:xf>
    <x:xf numFmtId="201" fontId="4" fillId="5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2" fontId="4" fillId="5" borderId="1" xfId="0" applyNumberFormat="1" applyFont="1" applyFill="1" applyBorder="1" applyAlignment="1">
      <x:alignment vertical="center" wrapText="1"/>
    </x:xf>
    <x:xf numFmtId="200" fontId="4" fillId="6" borderId="1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0" fontId="4" fillId="5" borderId="6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202" fontId="4" fillId="5" borderId="6" xfId="0" applyNumberFormat="1" applyFont="1" applyFill="1" applyBorder="1" applyAlignment="1">
      <x:alignment vertical="center" wrapText="1"/>
    </x:xf>
    <x:xf numFmtId="200" fontId="4" fillId="6" borderId="6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200" fontId="4" fillId="6" borderId="9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4" fillId="4" borderId="11" xfId="0" applyNumberFormat="1" applyFont="1" applyFill="1" applyBorder="1" applyAlignment="1">
      <x:alignment vertical="center" wrapText="1"/>
    </x:xf>
    <x:xf numFmtId="0" fontId="4" fillId="4" borderId="12" xfId="0" applyNumberFormat="1" applyFont="1" applyFill="1" applyBorder="1" applyAlignment="1">
      <x:alignment vertical="center" wrapText="1"/>
    </x:xf>
    <x:xf numFmtId="0" fontId="4" fillId="4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200" fontId="4" fillId="5" borderId="15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202" fontId="4" fillId="5" borderId="15" xfId="0" applyNumberFormat="1" applyFont="1" applyFill="1" applyBorder="1" applyAlignment="1">
      <x:alignment vertical="center" wrapText="1"/>
    </x:xf>
    <x:xf numFmtId="200" fontId="4" fillId="6" borderId="15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0" fontId="4" fillId="6" borderId="18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201" fontId="4" fillId="5" borderId="3" xfId="0" applyNumberFormat="1" applyFont="1" applyFill="1" applyBorder="1" applyAlignment="1">
      <x:alignment vertical="center" wrapText="1"/>
    </x:xf>
    <x:xf numFmtId="201" fontId="4" fillId="5" borderId="6" xfId="0" applyNumberFormat="1" applyFont="1" applyFill="1" applyBorder="1" applyAlignment="1">
      <x:alignment vertical="center" wrapText="1"/>
    </x:xf>
    <x:xf numFmtId="201" fontId="4" fillId="5" borderId="12" xfId="0" applyNumberFormat="1" applyFont="1" applyFill="1" applyBorder="1" applyAlignment="1">
      <x:alignment vertical="center" wrapText="1"/>
    </x:xf>
    <x:xf numFmtId="201" fontId="4" fillId="5" borderId="1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wrapText="1"/>
    </x:xf>
    <x:xf numFmtId="0" fontId="4" fillId="4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200" fontId="0" fillId="0" borderId="19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200" fontId="0" fillId="10" borderId="0" xfId="0" applyNumberFormat="1" applyFont="1" applyFill="1" applyBorder="1" applyAlignment="1">
      <x:alignment wrapText="1"/>
    </x:xf>
    <x:xf numFmtId="200" fontId="0" fillId="11" borderId="0" xfId="0" applyNumberFormat="1" applyFont="1" applyFill="1" applyBorder="1" applyAlignment="1">
      <x:alignment wrapText="1"/>
    </x:xf>
    <x:xf numFmtId="201" fontId="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0" fontId="0" fillId="13" borderId="0" xfId="0" applyNumberFormat="1" applyFont="1" applyFill="1" applyBorder="1" applyAlignment="1">
      <x:alignment wrapText="1"/>
    </x:xf>
    <x:xf numFmtId="0" fontId="7" fillId="13" borderId="0" xfId="0" applyNumberFormat="1" applyFont="1" applyFill="1" applyBorder="1" applyAlignment="1">
      <x:alignment wrapText="1"/>
    </x:xf>
    <x:xf numFmtId="0" fontId="4" fillId="13" borderId="0" xfId="0" applyNumberFormat="1" applyFont="1" applyFill="1" applyBorder="1" applyAlignment="1">
      <x:alignment horizontal="center" wrapText="1"/>
    </x:xf>
    <x:xf numFmtId="200" fontId="7" fillId="13" borderId="0" xfId="0" applyNumberFormat="1" applyFont="1" applyFill="1" applyBorder="1" applyAlignment="1">
      <x:alignment wrapText="1"/>
    </x:xf>
    <x:xf numFmtId="200" fontId="4" fillId="13" borderId="0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 applyAlignment="1">
      <x:alignment wrapText="1"/>
    </x:xf>
    <x:xf numFmtId="201" fontId="0" fillId="13" borderId="0" xfId="0" applyNumberFormat="1" applyFont="1" applyFill="1" applyBorder="1" applyAlignment="1">
      <x:alignment wrapText="1"/>
    </x:xf>
    <x:xf numFmtId="200" fontId="0" fillId="14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7" fillId="14" borderId="0" xfId="0" applyNumberFormat="1" applyFont="1" applyFill="1" applyBorder="1" applyAlignment="1">
      <x:alignment wrapText="1"/>
    </x:xf>
    <x:xf numFmtId="0" fontId="4" fillId="14" borderId="0" xfId="0" applyNumberFormat="1" applyFont="1" applyFill="1" applyBorder="1" applyAlignment="1">
      <x:alignment horizontal="center" wrapText="1"/>
    </x:xf>
    <x:xf numFmtId="200" fontId="7" fillId="14" borderId="0" xfId="0" applyNumberFormat="1" applyFont="1" applyFill="1" applyBorder="1" applyAlignment="1">
      <x:alignment wrapText="1"/>
    </x:xf>
    <x:xf numFmtId="200" fontId="4" fillId="1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4169888d5b40a9" /><Relationship Type="http://schemas.openxmlformats.org/officeDocument/2006/relationships/theme" Target="/xl/theme/theme1.xml" Id="R09304a59cd2e45bd" /><Relationship Type="http://schemas.openxmlformats.org/officeDocument/2006/relationships/sharedStrings" Target="/xl/sharedStrings.xml" Id="Rb55e311040be4b39" /><Relationship Type="http://schemas.openxmlformats.org/officeDocument/2006/relationships/worksheet" Target="/xl/worksheets/sheet1.xml" Id="Rd27461bd6f324dc1" /><Relationship Type="http://schemas.openxmlformats.org/officeDocument/2006/relationships/worksheet" Target="/xl/worksheets/sheet2.xml" Id="Rdc9fd4cd9be848fd" /><Relationship Type="http://schemas.openxmlformats.org/officeDocument/2006/relationships/worksheet" Target="/xl/worksheets/sheet3.xml" Id="Rf8e8eed836964a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24" hidden="0" customWidth="1"/>
    <x:col min="4" max="4" width="38" hidden="0" customWidth="1"/>
    <x:col min="5" max="5" width="3" hidden="0" customWidth="1"/>
    <x:col min="6" max="6" width="3" hidden="0" customWidth="1"/>
    <x:col min="7" max="7" width="3" hidden="0" customWidth="1"/>
  </x:cols>
  <x:sheetData>
    <x:row r="1">
      <x:c r="A1" s="50" t="str">
        <x:v>Statistics Calculator</x:v>
      </x:c>
      <x:c r="B1" s="51" t="str"/>
      <x:c r="C1" s="51" t="str"/>
      <x:c r="D1" s="51" t="str"/>
      <x:c r="E1" s="51" t="str"/>
      <x:c r="F1" s="51" t="str"/>
      <x:c r="G1" s="51" t="str"/>
    </x:row>
    <x:row r="2">
      <x:c r="A2" s="52" t="str">
        <x:v>Enter values in the blue cells. Results calculate automatically.</x:v>
      </x:c>
      <x:c r="B2" s="51" t="str"/>
      <x:c r="C2" s="51" t="str"/>
      <x:c r="D2" s="51" t="str"/>
      <x:c r="E2" s="51" t="str"/>
      <x:c r="F2" s="51" t="str"/>
      <x:c r="G2" s="51" t="str"/>
    </x:row>
    <x:row r="3">
      <x:c r="A3" s="51" t="str"/>
      <x:c r="B3" s="51" t="str"/>
      <x:c r="C3" s="51" t="str"/>
      <x:c r="D3" s="51" t="str"/>
      <x:c r="E3" s="51" t="str"/>
      <x:c r="F3" s="51" t="str"/>
      <x:c r="G3" s="51" t="str"/>
    </x:row>
    <x:row r="4">
      <x:c r="A4" s="53" t="str">
        <x:v>NORMAL DISTRIBUTION - Individual X</x:v>
      </x:c>
      <x:c r="B4" s="51" t="str"/>
      <x:c r="C4" s="51" t="str"/>
      <x:c r="D4" s="51" t="str"/>
      <x:c r="E4" s="51" t="str"/>
      <x:c r="F4" s="51" t="str"/>
      <x:c r="G4" s="51" t="str"/>
    </x:row>
    <x:row r="5">
      <x:c r="A5" s="68" t="str">
        <x:v>Input</x:v>
      </x:c>
      <x:c r="B5" s="69" t="str">
        <x:v>Value</x:v>
      </x:c>
      <x:c r="C5" s="69" t="str">
        <x:v>Output</x:v>
      </x:c>
      <x:c r="D5" s="70" t="str">
        <x:v>Formula/Meaning</x:v>
      </x:c>
      <x:c r="E5" s="51" t="str"/>
      <x:c r="F5" s="51" t="str"/>
      <x:c r="G5" s="51" t="str"/>
    </x:row>
    <x:row r="6">
      <x:c r="A6" s="71" t="str">
        <x:v>Mean (μ)</x:v>
      </x:c>
      <x:c r="B6" s="72" t="n">
        <x:v>50</x:v>
      </x:c>
      <x:c r="C6" s="73" t="str">
        <x:v>P(X &lt; a)</x:v>
      </x:c>
      <x:c r="D6" s="74" t="str">
        <x:v>=NORM.DIST(a, μ, σ, TRUE)</x:v>
      </x:c>
      <x:c r="E6" s="51" t="str"/>
      <x:c r="F6" s="51" t="str"/>
      <x:c r="G6" s="51" t="str"/>
    </x:row>
    <x:row r="7">
      <x:c r="A7" s="71" t="str">
        <x:v>Std Dev (σ)</x:v>
      </x:c>
      <x:c r="B7" s="72" t="n">
        <x:v>8</x:v>
      </x:c>
      <x:c r="C7" s="73" t="str">
        <x:v>P(X &gt; a)</x:v>
      </x:c>
      <x:c r="D7" s="74" t="str">
        <x:v>=1 - NORM.DIST(a, μ, σ, TRUE)</x:v>
      </x:c>
      <x:c r="E7" s="51" t="str"/>
      <x:c r="F7" s="51" t="str"/>
      <x:c r="G7" s="51" t="str"/>
    </x:row>
    <x:row r="8">
      <x:c r="A8" s="71" t="str">
        <x:v>Lower value</x:v>
      </x:c>
      <x:c r="B8" s="72" t="n">
        <x:v>49</x:v>
      </x:c>
      <x:c r="C8" s="73" t="str">
        <x:v>P(a &lt; X &lt; b)</x:v>
      </x:c>
      <x:c r="D8" s="74" t="str">
        <x:v>=NORM.DIST(b)-NORM.DIST(a)</x:v>
      </x:c>
      <x:c r="E8" s="51" t="str"/>
      <x:c r="F8" s="51" t="str"/>
      <x:c r="G8" s="51" t="str"/>
    </x:row>
    <x:row r="9">
      <x:c r="A9" s="71" t="str">
        <x:v>Upper value</x:v>
      </x:c>
      <x:c r="B9" s="72" t="n">
        <x:v>49.5</x:v>
      </x:c>
      <x:c r="C9" s="73" t="str">
        <x:v>x where P(X &lt; x)=p</x:v>
      </x:c>
      <x:c r="D9" s="74" t="str">
        <x:v>=NORM.INV(p, μ, σ)</x:v>
      </x:c>
      <x:c r="E9" s="51" t="str"/>
      <x:c r="F9" s="51" t="str"/>
      <x:c r="G9" s="51" t="str"/>
    </x:row>
    <x:row r="10">
      <x:c r="A10" s="71" t="str">
        <x:v>Percent below p</x:v>
      </x:c>
      <x:c r="B10" s="75" t="n">
        <x:v>0.7</x:v>
      </x:c>
      <x:c r="C10" s="73" t="str">
        <x:v>x where P(X &gt; x)=p</x:v>
      </x:c>
      <x:c r="D10" s="74" t="str">
        <x:v>=NORM.INV(1-p, μ, σ)</x:v>
      </x:c>
      <x:c r="E10" s="51" t="str"/>
      <x:c r="F10" s="51" t="str"/>
      <x:c r="G10" s="51" t="str"/>
    </x:row>
    <x:row r="11">
      <x:c r="A11" s="71" t="str"/>
      <x:c r="B11" s="73" t="str"/>
      <x:c r="C11" s="73" t="str"/>
      <x:c r="D11" s="74" t="str"/>
      <x:c r="E11" s="51" t="str"/>
      <x:c r="F11" s="51" t="str"/>
      <x:c r="G11" s="51" t="str"/>
    </x:row>
    <x:row r="12">
      <x:c r="A12" s="71" t="str">
        <x:v>Individual Normal Results</x:v>
      </x:c>
      <x:c r="B12" s="73" t="str"/>
      <x:c r="C12" s="73" t="str"/>
      <x:c r="D12" s="74" t="str"/>
      <x:c r="E12" s="51" t="str"/>
      <x:c r="F12" s="51" t="str"/>
      <x:c r="G12" s="51" t="str"/>
    </x:row>
    <x:row r="13">
      <x:c r="A13" s="71" t="str">
        <x:v>P(X &lt; Lower)</x:v>
      </x:c>
      <x:c r="B13" s="76" t="n">
        <x:f>NORM.DIST(B8,B6,B7,TRUE)</x:f>
        <x:v>0.45026177516988725</x:v>
      </x:c>
      <x:c r="C13" s="73" t="str"/>
      <x:c r="D13" s="74" t="str"/>
      <x:c r="E13" s="51" t="str"/>
      <x:c r="F13" s="51" t="str"/>
      <x:c r="G13" s="51" t="str"/>
    </x:row>
    <x:row r="14">
      <x:c r="A14" s="71" t="str">
        <x:v>P(X &gt; Lower)</x:v>
      </x:c>
      <x:c r="B14" s="76" t="n">
        <x:f>1-NORM.DIST(B8,B6,B7,TRUE)</x:f>
        <x:v>0.5497382248301128</x:v>
      </x:c>
      <x:c r="C14" s="73" t="str"/>
      <x:c r="D14" s="74" t="str"/>
      <x:c r="E14" s="51" t="str"/>
      <x:c r="F14" s="51" t="str"/>
      <x:c r="G14" s="51" t="str"/>
    </x:row>
    <x:row r="15">
      <x:c r="A15" s="71" t="str">
        <x:v>P(Lower &lt; X &lt; Upper)</x:v>
      </x:c>
      <x:c r="B15" s="76" t="n">
        <x:f>NORM.DIST(B9,B6,B7,TRUE)-NORM.DIST(B8,B6,B7,TRUE)</x:f>
        <x:v>0.024820555800865507</x:v>
      </x:c>
      <x:c r="C15" s="73" t="str"/>
      <x:c r="D15" s="74" t="str"/>
      <x:c r="E15" s="51" t="str"/>
      <x:c r="F15" s="51" t="str"/>
      <x:c r="G15" s="51" t="str"/>
    </x:row>
    <x:row r="16">
      <x:c r="A16" s="71" t="str">
        <x:v>x with p below</x:v>
      </x:c>
      <x:c r="B16" s="76" t="n">
        <x:f>NORM.INV(B10,B6,B7)</x:f>
        <x:v>54.195204101664324</x:v>
      </x:c>
      <x:c r="C16" s="73" t="str"/>
      <x:c r="D16" s="74" t="str"/>
      <x:c r="E16" s="51" t="str"/>
      <x:c r="F16" s="51" t="str"/>
      <x:c r="G16" s="51" t="str"/>
    </x:row>
    <x:row r="17">
      <x:c r="A17" s="77" t="str">
        <x:v>x with p above</x:v>
      </x:c>
      <x:c r="B17" s="78" t="n">
        <x:f>NORM.INV(1-B10,B6,B7)</x:f>
        <x:v>45.804795898335676</x:v>
      </x:c>
      <x:c r="C17" s="79" t="str"/>
      <x:c r="D17" s="80" t="str"/>
      <x:c r="E17" s="51" t="str"/>
      <x:c r="F17" s="51" t="str"/>
      <x:c r="G17" s="51" t="str"/>
    </x:row>
    <x:row r="18">
      <x:c r="A18" s="51" t="str"/>
      <x:c r="B18" s="51" t="str"/>
      <x:c r="C18" s="51" t="str"/>
      <x:c r="D18" s="51" t="str"/>
      <x:c r="E18" s="51" t="str"/>
      <x:c r="F18" s="51" t="str"/>
      <x:c r="G18" s="51" t="str"/>
    </x:row>
    <x:row r="19">
      <x:c r="A19" s="53" t="str">
        <x:v>SAMPLING DISTRIBUTION - Sample Mean X-bar</x:v>
      </x:c>
      <x:c r="B19" s="51" t="str"/>
      <x:c r="C19" s="51" t="str"/>
      <x:c r="D19" s="51" t="str"/>
      <x:c r="E19" s="51" t="str"/>
      <x:c r="F19" s="51" t="str"/>
      <x:c r="G19" s="51" t="str"/>
    </x:row>
    <x:row r="20">
      <x:c r="A20" s="68" t="str">
        <x:v>Input</x:v>
      </x:c>
      <x:c r="B20" s="69" t="str">
        <x:v>Value</x:v>
      </x:c>
      <x:c r="C20" s="69" t="str">
        <x:v>Output</x:v>
      </x:c>
      <x:c r="D20" s="70" t="str">
        <x:v>Formula/Meaning</x:v>
      </x:c>
      <x:c r="E20" s="51" t="str"/>
      <x:c r="F20" s="51" t="str"/>
      <x:c r="G20" s="51" t="str"/>
    </x:row>
    <x:row r="21">
      <x:c r="A21" s="71" t="str">
        <x:v>Population Mean (μ)</x:v>
      </x:c>
      <x:c r="B21" s="72" t="n">
        <x:v>50</x:v>
      </x:c>
      <x:c r="C21" s="73" t="str">
        <x:v>Standard Error</x:v>
      </x:c>
      <x:c r="D21" s="74" t="str">
        <x:v>=σ/SQRT(n)</x:v>
      </x:c>
      <x:c r="E21" s="51" t="str"/>
      <x:c r="F21" s="51" t="str"/>
      <x:c r="G21" s="51" t="str"/>
    </x:row>
    <x:row r="22">
      <x:c r="A22" s="71" t="str">
        <x:v>Population Std Dev (σ)</x:v>
      </x:c>
      <x:c r="B22" s="72" t="n">
        <x:v>8</x:v>
      </x:c>
      <x:c r="C22" s="73" t="str">
        <x:v>P(X-bar &lt; a)</x:v>
      </x:c>
      <x:c r="D22" s="74" t="str">
        <x:v>=NORM.DIST(a, μ, SE, TRUE)</x:v>
      </x:c>
      <x:c r="E22" s="51" t="str"/>
      <x:c r="F22" s="51" t="str"/>
      <x:c r="G22" s="51" t="str"/>
    </x:row>
    <x:row r="23">
      <x:c r="A23" s="71" t="str">
        <x:v>Sample size (n)</x:v>
      </x:c>
      <x:c r="B23" s="72" t="n">
        <x:v>100</x:v>
      </x:c>
      <x:c r="C23" s="73" t="str">
        <x:v>P(X-bar &gt; a)</x:v>
      </x:c>
      <x:c r="D23" s="74" t="str">
        <x:v>=1 - NORM.DIST(a, μ, SE, TRUE)</x:v>
      </x:c>
      <x:c r="E23" s="51" t="str"/>
      <x:c r="F23" s="51" t="str"/>
      <x:c r="G23" s="51" t="str"/>
    </x:row>
    <x:row r="24">
      <x:c r="A24" s="71" t="str">
        <x:v>Lower sample mean</x:v>
      </x:c>
      <x:c r="B24" s="72" t="n">
        <x:v>49</x:v>
      </x:c>
      <x:c r="C24" s="73" t="str">
        <x:v>P(a &lt; X-bar &lt; b)</x:v>
      </x:c>
      <x:c r="D24" s="74" t="str">
        <x:v>=NORM.DIST(b)-NORM.DIST(a)</x:v>
      </x:c>
      <x:c r="E24" s="51" t="str"/>
      <x:c r="F24" s="51" t="str"/>
      <x:c r="G24" s="51" t="str"/>
    </x:row>
    <x:row r="25">
      <x:c r="A25" s="71" t="str">
        <x:v>Upper sample mean</x:v>
      </x:c>
      <x:c r="B25" s="72" t="n">
        <x:v>49.5</x:v>
      </x:c>
      <x:c r="C25" s="73" t="str">
        <x:v>x where P(X-bar &lt; x)=p</x:v>
      </x:c>
      <x:c r="D25" s="74" t="str">
        <x:v>=NORM.INV(p, μ, SE)</x:v>
      </x:c>
      <x:c r="E25" s="51" t="str"/>
      <x:c r="F25" s="51" t="str"/>
      <x:c r="G25" s="51" t="str"/>
    </x:row>
    <x:row r="26">
      <x:c r="A26" s="71" t="str">
        <x:v>Percent below p</x:v>
      </x:c>
      <x:c r="B26" s="75" t="n">
        <x:v>0.7</x:v>
      </x:c>
      <x:c r="C26" s="73" t="str">
        <x:v>x where P(X-bar &gt; x)=p</x:v>
      </x:c>
      <x:c r="D26" s="74" t="str">
        <x:v>=NORM.INV(1-p, μ, SE)</x:v>
      </x:c>
      <x:c r="E26" s="51" t="str"/>
      <x:c r="F26" s="51" t="str"/>
      <x:c r="G26" s="51" t="str"/>
    </x:row>
    <x:row r="27">
      <x:c r="A27" s="71" t="str"/>
      <x:c r="B27" s="73" t="str"/>
      <x:c r="C27" s="73" t="str"/>
      <x:c r="D27" s="74" t="str"/>
      <x:c r="E27" s="51" t="str"/>
      <x:c r="F27" s="51" t="str"/>
      <x:c r="G27" s="51" t="str"/>
    </x:row>
    <x:row r="28">
      <x:c r="A28" s="71" t="str">
        <x:v>Sample Mean Results</x:v>
      </x:c>
      <x:c r="B28" s="73" t="str"/>
      <x:c r="C28" s="73" t="str"/>
      <x:c r="D28" s="74" t="str"/>
      <x:c r="E28" s="51" t="str"/>
      <x:c r="F28" s="51" t="str"/>
      <x:c r="G28" s="51" t="str"/>
    </x:row>
    <x:row r="29">
      <x:c r="A29" s="71" t="str">
        <x:v>Standard Error</x:v>
      </x:c>
      <x:c r="B29" s="76" t="n">
        <x:f>B22/SQRT(B23)</x:f>
        <x:v>0.8</x:v>
      </x:c>
      <x:c r="C29" s="73" t="str"/>
      <x:c r="D29" s="74" t="str"/>
      <x:c r="E29" s="51" t="str"/>
      <x:c r="F29" s="51" t="str"/>
      <x:c r="G29" s="51" t="str"/>
    </x:row>
    <x:row r="30">
      <x:c r="A30" s="71" t="str">
        <x:v>P(X-bar &lt; Lower)</x:v>
      </x:c>
      <x:c r="B30" s="76" t="n">
        <x:f>NORM.DIST(B24,B21,B29,TRUE)</x:f>
        <x:v>0.10564977366685524</x:v>
      </x:c>
      <x:c r="C30" s="73" t="str"/>
      <x:c r="D30" s="74" t="str"/>
      <x:c r="E30" s="51" t="str"/>
      <x:c r="F30" s="51" t="str"/>
      <x:c r="G30" s="51" t="str"/>
    </x:row>
    <x:row r="31">
      <x:c r="A31" s="71" t="str">
        <x:v>P(X-bar &gt; Lower)</x:v>
      </x:c>
      <x:c r="B31" s="76" t="n">
        <x:f>1-NORM.DIST(B24,B21,B29,TRUE)</x:f>
        <x:v>0.8943502263331448</x:v>
      </x:c>
      <x:c r="C31" s="73" t="str"/>
      <x:c r="D31" s="74" t="str"/>
      <x:c r="E31" s="51" t="str"/>
      <x:c r="F31" s="51" t="str"/>
      <x:c r="G31" s="51" t="str"/>
    </x:row>
    <x:row r="32">
      <x:c r="A32" s="71" t="str">
        <x:v>P(Lower &lt; X-bar &lt; Upper)</x:v>
      </x:c>
      <x:c r="B32" s="76" t="n">
        <x:f>NORM.DIST(B25,B21,B29,TRUE)-NORM.DIST(B24,B21,B29,TRUE)</x:f>
        <x:v>0.1603357553818453</x:v>
      </x:c>
      <x:c r="C32" s="73" t="str"/>
      <x:c r="D32" s="74" t="str"/>
      <x:c r="E32" s="51" t="str"/>
      <x:c r="F32" s="51" t="str"/>
      <x:c r="G32" s="51" t="str"/>
    </x:row>
    <x:row r="33">
      <x:c r="A33" s="71" t="str">
        <x:v>x with p below</x:v>
      </x:c>
      <x:c r="B33" s="76" t="n">
        <x:f>NORM.INV(B26,B21,B29)</x:f>
        <x:v>50.419520410166434</x:v>
      </x:c>
      <x:c r="C33" s="73" t="str"/>
      <x:c r="D33" s="74" t="str"/>
      <x:c r="E33" s="51" t="str"/>
      <x:c r="F33" s="51" t="str"/>
      <x:c r="G33" s="51" t="str"/>
    </x:row>
    <x:row r="34">
      <x:c r="A34" s="77" t="str">
        <x:v>x with p above</x:v>
      </x:c>
      <x:c r="B34" s="78" t="n">
        <x:f>NORM.INV(1-B26,B21,B29)</x:f>
        <x:v>49.580479589833566</x:v>
      </x:c>
      <x:c r="C34" s="79" t="str"/>
      <x:c r="D34" s="80" t="str"/>
      <x:c r="E34" s="51" t="str"/>
      <x:c r="F34" s="51" t="str"/>
      <x:c r="G34" s="51" t="str"/>
    </x:row>
    <x:row r="35">
      <x:c r="A35" s="51" t="str"/>
      <x:c r="B35" s="51" t="str"/>
      <x:c r="C35" s="51" t="str"/>
      <x:c r="D35" s="51" t="str"/>
      <x:c r="E35" s="51" t="str"/>
      <x:c r="F35" s="51" t="str"/>
      <x:c r="G35" s="51" t="str"/>
    </x:row>
    <x:row r="36">
      <x:c r="A36" s="53" t="str">
        <x:v>BINOMIAL DISTRIBUTION - Defects / Counts</x:v>
      </x:c>
      <x:c r="B36" s="51" t="str"/>
      <x:c r="C36" s="51" t="str"/>
      <x:c r="D36" s="51" t="str"/>
      <x:c r="E36" s="51" t="str"/>
      <x:c r="F36" s="51" t="str"/>
      <x:c r="G36" s="51" t="str"/>
    </x:row>
    <x:row r="37">
      <x:c r="A37" s="68" t="str">
        <x:v>Input</x:v>
      </x:c>
      <x:c r="B37" s="94" t="str">
        <x:v>Value</x:v>
      </x:c>
      <x:c r="C37" s="69" t="str">
        <x:v>Output</x:v>
      </x:c>
      <x:c r="D37" s="70" t="str">
        <x:v>Formula/Meaning</x:v>
      </x:c>
      <x:c r="E37" s="51" t="str"/>
      <x:c r="F37" s="51" t="str"/>
      <x:c r="G37" s="51" t="str"/>
    </x:row>
    <x:row r="38">
      <x:c r="A38" s="71" t="str">
        <x:v>Number of trials (n)</x:v>
      </x:c>
      <x:c r="B38" s="95" t="n">
        <x:v>10</x:v>
      </x:c>
      <x:c r="C38" s="73" t="str">
        <x:v>P(X = k)</x:v>
      </x:c>
      <x:c r="D38" s="74" t="str">
        <x:v>=BINOM.DIST(k, n, p, FALSE)</x:v>
      </x:c>
      <x:c r="E38" s="51" t="str"/>
      <x:c r="F38" s="51" t="str"/>
      <x:c r="G38" s="51" t="str"/>
    </x:row>
    <x:row r="39">
      <x:c r="A39" s="71" t="str">
        <x:v>Probability of success/defect (p)</x:v>
      </x:c>
      <x:c r="B39" s="75" t="n">
        <x:v>0.09</x:v>
      </x:c>
      <x:c r="C39" s="73" t="str">
        <x:v>P(X ≤ k)</x:v>
      </x:c>
      <x:c r="D39" s="74" t="str">
        <x:v>=BINOM.DIST(k, n, p, TRUE)</x:v>
      </x:c>
      <x:c r="E39" s="51" t="str"/>
      <x:c r="F39" s="51" t="str"/>
      <x:c r="G39" s="51" t="str"/>
    </x:row>
    <x:row r="40">
      <x:c r="A40" s="71" t="str">
        <x:v>k value</x:v>
      </x:c>
      <x:c r="B40" s="126" t="n">
        <x:v>1</x:v>
      </x:c>
      <x:c r="C40" s="73" t="str">
        <x:v>P(X ≥ k)</x:v>
      </x:c>
      <x:c r="D40" s="74" t="str">
        <x:v>=1 - BINOM.DIST(k-1, n, p, TRUE)</x:v>
      </x:c>
      <x:c r="E40" s="51" t="str"/>
      <x:c r="F40" s="51" t="str"/>
      <x:c r="G40" s="51" t="str"/>
    </x:row>
    <x:row r="41">
      <x:c r="A41" s="71" t="str"/>
      <x:c r="B41" s="73" t="str"/>
      <x:c r="C41" s="73" t="str"/>
      <x:c r="D41" s="74" t="str"/>
      <x:c r="E41" s="51" t="str"/>
      <x:c r="F41" s="51" t="str"/>
      <x:c r="G41" s="51" t="str"/>
    </x:row>
    <x:row r="42">
      <x:c r="A42" s="71" t="str">
        <x:v>Binomial Results</x:v>
      </x:c>
      <x:c r="B42" s="76" t="str"/>
      <x:c r="C42" s="73" t="str"/>
      <x:c r="D42" s="74" t="str"/>
      <x:c r="E42" s="51" t="str"/>
      <x:c r="F42" s="51" t="str"/>
      <x:c r="G42" s="51" t="str"/>
    </x:row>
    <x:row r="43">
      <x:c r="A43" s="71" t="str">
        <x:v>P(X = k)</x:v>
      </x:c>
      <x:c r="B43" s="76" t="n">
        <x:f>BINOM.DIST(B40,B38,B39,FALSE)</x:f>
        <x:v>0.38513682011680966</x:v>
      </x:c>
      <x:c r="C43" s="73" t="str"/>
      <x:c r="D43" s="74" t="str"/>
      <x:c r="E43" s="51" t="str"/>
      <x:c r="F43" s="51" t="str"/>
      <x:c r="G43" s="51" t="str"/>
    </x:row>
    <x:row r="44">
      <x:c r="A44" s="71" t="str">
        <x:v>P(X ≤ k)</x:v>
      </x:c>
      <x:c r="B44" s="76" t="n">
        <x:f>BINOM.DIST(B40,B38,B39,TRUE)</x:f>
        <x:v>0.7745529382</x:v>
      </x:c>
      <x:c r="C44" s="73" t="str"/>
      <x:c r="D44" s="74" t="str"/>
      <x:c r="E44" s="51" t="str"/>
      <x:c r="F44" s="51" t="str"/>
      <x:c r="G44" s="51" t="str"/>
    </x:row>
    <x:row r="45">
      <x:c r="A45" s="71" t="str">
        <x:v>P(X ≥ k)</x:v>
      </x:c>
      <x:c r="B45" s="76" t="n">
        <x:f>1-BINOM.DIST(B40-1,B38,B39,TRUE)</x:f>
        <x:v>0.6105838819</x:v>
      </x:c>
      <x:c r="C45" s="73" t="str"/>
      <x:c r="D45" s="74" t="str"/>
      <x:c r="E45" s="51" t="str"/>
      <x:c r="F45" s="51" t="str"/>
      <x:c r="G45" s="51" t="str"/>
    </x:row>
    <x:row r="46">
      <x:c r="A46" s="71" t="str">
        <x:v>P(X = 0)</x:v>
      </x:c>
      <x:c r="B46" s="76" t="n">
        <x:f>BINOM.DIST(0,B38,B39,FALSE)</x:f>
        <x:v>0.3894161181181076</x:v>
      </x:c>
      <x:c r="C46" s="73" t="str"/>
      <x:c r="D46" s="74" t="str"/>
      <x:c r="E46" s="51" t="str"/>
      <x:c r="F46" s="51" t="str"/>
      <x:c r="G46" s="51" t="str"/>
    </x:row>
    <x:row r="47">
      <x:c r="A47" s="77" t="str">
        <x:v>P(X ≤ 3)</x:v>
      </x:c>
      <x:c r="B47" s="78" t="n">
        <x:f>BINOM.DIST(3,B38,B39,TRUE)</x:f>
        <x:v>0.9911662385</x:v>
      </x:c>
      <x:c r="C47" s="79" t="str"/>
      <x:c r="D47" s="80" t="str"/>
      <x:c r="E47" s="51" t="str"/>
      <x:c r="F47" s="51" t="str"/>
      <x:c r="G47" s="51" t="str"/>
    </x:row>
    <x:row r="48">
      <x:c r="A48" s="51" t="str">
        <x:v>P(X ≥ 4)</x:v>
      </x:c>
      <x:c r="B48" s="57" t="n">
        <x:f>1-BINOM.DIST(3,B38,B39,TRUE)</x:f>
        <x:v>0.008833761500000037</x:v>
      </x:c>
      <x:c r="C48" s="51" t="str"/>
      <x:c r="D48" s="51" t="str"/>
      <x:c r="E48" s="51" t="str"/>
      <x:c r="F48" s="51" t="str"/>
      <x:c r="G48" s="51" t="str"/>
    </x:row>
    <x:row r="49">
      <x:c r="A49" s="53" t="str"/>
      <x:c r="B49" s="51" t="str"/>
      <x:c r="C49" s="51" t="str"/>
      <x:c r="D49" s="51" t="str"/>
      <x:c r="E49" s="51" t="str"/>
      <x:c r="F49" s="51" t="str"/>
      <x:c r="G49" s="51" t="str"/>
    </x:row>
    <x:row r="50">
      <x:c r="A50" s="51" t="str">
        <x:v>Notes</x:v>
      </x:c>
      <x:c r="B50" s="51" t="str"/>
      <x:c r="C50" s="51" t="str"/>
      <x:c r="D50" s="51" t="str"/>
      <x:c r="E50" s="51" t="str"/>
      <x:c r="F50" s="51" t="str"/>
      <x:c r="G50" s="51" t="str"/>
    </x:row>
    <x:row r="51">
      <x:c r="A51" t="str">
        <x:v>Use the sample mean section when the question says sample mean or X-bar.</x:v>
      </x:c>
      <x:c r="B51" t="str"/>
      <x:c r="C51" t="str"/>
      <x:c r="D51" t="str"/>
      <x:c r="E51" t="str"/>
      <x:c r="F51" t="str"/>
      <x:c r="G51" t="str"/>
    </x:row>
    <x:row r="52">
      <x:c r="A52" t="str">
        <x:v>Use the individual normal section when the question asks about one item/person/part.</x:v>
      </x:c>
      <x:c r="B52" t="str"/>
      <x:c r="C52" t="str"/>
      <x:c r="D52" t="str"/>
      <x:c r="E52" t="str"/>
      <x:c r="F52" t="str"/>
      <x:c r="G52" t="str"/>
    </x:row>
    <x:row r="53">
      <x:c r="A53" t="str">
        <x:v>Use full precision in the calculator and round only the final answer for Pearson.</x:v>
      </x:c>
      <x:c r="B53" t="str"/>
      <x:c r="C53" t="str"/>
      <x:c r="D53" t="str"/>
      <x:c r="E53" t="str"/>
      <x:c r="F53" t="str"/>
      <x:c r="G53" t="str"/>
    </x:row>
    <x:row r="54">
      <x:c r="A54" s="153" t="str">
        <x:v>New: use the Confidence &amp; Sample Size sheet for confidence intervals and required sample-size problems.</x:v>
      </x:c>
      <x:c r="B54" s="153"/>
      <x:c r="C54" s="153"/>
      <x:c r="D54" s="153"/>
    </x:row>
  </x:sheetData>
  <x:mergeCells>
    <x:mergeCell ref="A1:G1"/>
    <x:mergeCell ref="A2:G2"/>
    <x:mergeCell ref="A4:G4"/>
    <x:mergeCell ref="A19:G19"/>
    <x:mergeCell ref="A36:G36"/>
    <x:mergeCell ref="A49:G4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6.5" hidden="0" customWidth="1"/>
    <x:col min="2" max="2" width="23.3799991607666" hidden="0" customWidth="1"/>
    <x:col min="3" max="3" width="15" hidden="0" customWidth="1"/>
    <x:col min="4" max="4" width="21.1299991607666" hidden="0" customWidth="1"/>
    <x:col min="5" max="5" width="6.25" hidden="0" customWidth="1"/>
  </x:cols>
  <x:sheetData>
    <x:row r="1">
      <x:c r="A1" s="32" t="str">
        <x:v>Worked Examples</x:v>
      </x:c>
      <x:c r="B1" s="33" t="str"/>
      <x:c r="C1" s="33" t="str"/>
      <x:c r="D1" s="33" t="str"/>
      <x:c r="E1" s="33" t="str"/>
    </x:row>
    <x:row r="2">
      <x:c r="A2" s="33" t="str">
        <x:v>These examples match the types of Pearson questions we have been doing.</x:v>
      </x:c>
      <x:c r="B2" s="33" t="str"/>
      <x:c r="C2" s="33" t="str"/>
      <x:c r="D2" s="33" t="str"/>
      <x:c r="E2" s="33" t="str"/>
    </x:row>
    <x:row r="3">
      <x:c r="A3" s="33" t="str"/>
      <x:c r="B3" s="33" t="str"/>
      <x:c r="C3" s="33" t="str"/>
      <x:c r="D3" s="33" t="str"/>
      <x:c r="E3" s="33" t="str"/>
    </x:row>
    <x:row r="4">
      <x:c r="A4" s="104" t="str">
        <x:v>Example</x:v>
      </x:c>
      <x:c r="B4" s="105" t="str">
        <x:v>Inputs</x:v>
      </x:c>
      <x:c r="C4" s="105" t="str">
        <x:v>Question</x:v>
      </x:c>
      <x:c r="D4" s="105" t="str">
        <x:v>Answer Formula</x:v>
      </x:c>
      <x:c r="E4" s="106" t="str">
        <x:v>Answer</x:v>
      </x:c>
    </x:row>
    <x:row r="5">
      <x:c r="A5" s="107" t="str">
        <x:v>Soft drinks</x:v>
      </x:c>
      <x:c r="B5" s="108" t="str">
        <x:v>μ=19.45, σ=4</x:v>
      </x:c>
      <x:c r="C5" s="108" t="str">
        <x:v>P(X &gt; 13)</x:v>
      </x:c>
      <x:c r="D5" s="108" t="n">
        <x:f>1-NORM.DIST(13,19.45,4,TRUE)</x:f>
        <x:v>0.946573410034388</x:v>
      </x:c>
      <x:c r="E5" s="109" t="n">
        <x:f>1-NORM.DIST(13,19.45,4,TRUE)</x:f>
        <x:v>0.946573410034388</x:v>
      </x:c>
    </x:row>
    <x:row r="6">
      <x:c r="A6" s="107" t="str">
        <x:v>Ball bearings</x:v>
      </x:c>
      <x:c r="B6" s="108" t="str">
        <x:v>μ=0.764, σ=0.004</x:v>
      </x:c>
      <x:c r="C6" s="108" t="str">
        <x:v>P(X &gt; 0.77)</x:v>
      </x:c>
      <x:c r="D6" s="108" t="n">
        <x:f>1-NORM.DIST(0.77,0.764,0.004,TRUE)</x:f>
        <x:v>0.06680720126885786</x:v>
      </x:c>
      <x:c r="E6" s="109" t="n">
        <x:f>1-NORM.DIST(0.77,0.764,0.004,TRUE)</x:f>
        <x:v>0.06680720126885786</x:v>
      </x:c>
    </x:row>
    <x:row r="7">
      <x:c r="A7" s="107" t="str">
        <x:v>LED bulbs</x:v>
      </x:c>
      <x:c r="B7" s="108" t="str">
        <x:v>n=10, p=0.09</x:v>
      </x:c>
      <x:c r="C7" s="108" t="str">
        <x:v>P(X = 1)</x:v>
      </x:c>
      <x:c r="D7" s="108" t="n">
        <x:f>BINOM.DIST(1,10,0.09,FALSE)</x:f>
        <x:v>0.38513682011680966</x:v>
      </x:c>
      <x:c r="E7" s="109" t="n">
        <x:f>BINOM.DIST(1,10,0.09,FALSE)</x:f>
        <x:v>0.38513682011680966</x:v>
      </x:c>
    </x:row>
    <x:row r="8">
      <x:c r="A8" s="110" t="str">
        <x:v>Sample mean</x:v>
      </x:c>
      <x:c r="B8" s="111" t="str">
        <x:v>μ=50, σ=8, n=100</x:v>
      </x:c>
      <x:c r="C8" s="111" t="str">
        <x:v>P(X-bar &lt; 49)</x:v>
      </x:c>
      <x:c r="D8" s="111" t="n">
        <x:f>NORM.DIST(49,50,8/SQRT(100),TRUE)</x:f>
        <x:v>0.10564977366685524</x:v>
      </x:c>
      <x:c r="E8" s="112" t="n">
        <x:f>NORM.DIST(49,50,8/SQRT(100),TRUE)</x:f>
        <x:v>0.10564977366685524</x:v>
      </x:c>
    </x:row>
    <x:row r="10">
      <x:c r="A10" s="136" t="str">
        <x:v>Confidence / Sample Size Examples</x:v>
      </x:c>
      <x:c r="B10" s="136" t="str"/>
      <x:c r="C10" s="136" t="str"/>
      <x:c r="D10" s="136" t="str"/>
      <x:c r="E10" s="136" t="str"/>
    </x:row>
    <x:row r="11">
      <x:c r="A11" s="33" t="str">
        <x:v>Mean CI, sample s</x:v>
      </x:c>
      <x:c r="B11" s="33" t="str">
        <x:v>n=100, xbar=1200, s=150, 90%</x:v>
      </x:c>
      <x:c r="C11" s="33" t="str">
        <x:v>1175.09 to 1224.91</x:v>
      </x:c>
      <x:c r="D11" s="33" t="str">
        <x:v>Use t interval</x:v>
      </x:c>
      <x:c r="E11" s="33" t="str"/>
    </x:row>
    <x:row r="12">
      <x:c r="A12" s="33" t="str">
        <x:v>Proportion CI</x:v>
      </x:c>
      <x:c r="B12" s="33" t="str">
        <x:v>x=1197, n=3794, 95%</x:v>
      </x:c>
      <x:c r="C12" s="33" t="str">
        <x:v>0.3007 to 0.3303</x:v>
      </x:c>
      <x:c r="D12" s="33" t="str">
        <x:v>Use z proportion interval</x:v>
      </x:c>
      <x:c r="E12" s="33" t="str"/>
    </x:row>
    <x:row r="13">
      <x:c r="A13" s="33" t="str">
        <x:v>Sample size mean</x:v>
      </x:c>
      <x:c r="B13" s="33" t="str">
        <x:v>sigma=48, E=5, 90%</x:v>
      </x:c>
      <x:c r="C13" s="33" t="str">
        <x:v>250</x:v>
      </x:c>
      <x:c r="D13" s="33" t="str">
        <x:v>Always round up</x:v>
      </x:c>
      <x:c r="E13" s="33" t="str"/>
    </x:row>
    <x:row r="14">
      <x:c r="A14" s="33" t="str">
        <x:v>Sample size proportion</x:v>
      </x:c>
      <x:c r="B14" s="33" t="str">
        <x:v>p-hat=0.5, E=0.05, 95%</x:v>
      </x:c>
      <x:c r="C14" s="33" t="str">
        <x:v>385</x:v>
      </x:c>
      <x:c r="D14" s="33" t="str">
        <x:v>Use 0.5 if no estimate given</x:v>
      </x:c>
      <x:c r="E14" s="33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3" hidden="0" customWidth="1"/>
    <x:col min="4" max="4" width="30" hidden="0" customWidth="1"/>
    <x:col min="5" max="5" width="18" hidden="0" customWidth="1"/>
    <x:col min="6" max="6" width="32" hidden="0" customWidth="1"/>
    <x:col min="7" max="7" width="3" hidden="0" customWidth="1"/>
    <x:col min="8" max="8" width="3" hidden="0" customWidth="1"/>
  </x:cols>
  <x:sheetData>
    <x:row r="1" ht="38.400001525878906" hidden="0" customHeight="1">
      <x:c r="A1" s="142" t="str">
        <x:v>Confidence Intervals &amp; Sample Size Calculator</x:v>
      </x:c>
      <x:c r="B1" s="142" t="str"/>
      <x:c r="C1" s="142" t="str"/>
      <x:c r="D1" s="142" t="str"/>
      <x:c r="E1" s="142" t="str"/>
      <x:c r="F1" s="142" t="str"/>
      <x:c r="G1" s="142" t="str"/>
      <x:c r="H1" s="142" t="str"/>
    </x:row>
    <x:row r="2" ht="39.599998474121094" hidden="0" customHeight="1">
      <x:c r="A2" s="143" t="str">
        <x:v>Enter values in the blue cells. Results calculate automatically. Round final answers to Pearson instructions.</x:v>
      </x:c>
      <x:c r="B2" s="143" t="str"/>
      <x:c r="C2" s="143" t="str"/>
      <x:c r="D2" s="143" t="str"/>
      <x:c r="E2" s="143" t="str"/>
      <x:c r="F2" s="143" t="str"/>
      <x:c r="G2" s="143" t="str"/>
      <x:c r="H2" s="143" t="str"/>
    </x:row>
    <x:row r="3" ht="15" hidden="0" customHeight="1">
      <x:c r="A3" s="33"/>
      <x:c r="B3" s="33"/>
      <x:c r="C3" s="33"/>
      <x:c r="D3" s="33"/>
      <x:c r="E3" s="33"/>
      <x:c r="F3" s="33"/>
      <x:c r="G3" s="33"/>
      <x:c r="H3" s="33"/>
    </x:row>
    <x:row r="4" ht="26.399999618530273" hidden="0" customHeight="1">
      <x:c r="A4" s="144" t="str">
        <x:v>CONFIDENCE INTERVAL FOR MEAN - sample standard deviation given (t interval)</x:v>
      </x:c>
      <x:c r="B4" s="144" t="str"/>
      <x:c r="C4" s="144" t="str"/>
      <x:c r="D4" s="144" t="str"/>
      <x:c r="E4" s="144" t="str"/>
      <x:c r="F4" s="144" t="str"/>
      <x:c r="G4" s="144" t="str"/>
      <x:c r="H4" s="144" t="str"/>
    </x:row>
    <x:row r="5" ht="15" hidden="0" customHeight="1">
      <x:c r="A5" s="145" t="str">
        <x:v>Input</x:v>
      </x:c>
      <x:c r="B5" s="145" t="str">
        <x:v>Value</x:v>
      </x:c>
      <x:c r="C5" s="145" t="str"/>
      <x:c r="D5" s="145" t="str">
        <x:v>Output</x:v>
      </x:c>
      <x:c r="E5" s="145" t="str">
        <x:v>Value</x:v>
      </x:c>
      <x:c r="F5" s="145" t="str">
        <x:v>Formula / Meaning</x:v>
      </x:c>
      <x:c r="G5" s="145" t="str"/>
      <x:c r="H5" s="145" t="str"/>
    </x:row>
    <x:row r="6" ht="15" hidden="0" customHeight="1">
      <x:c r="A6" s="33" t="str">
        <x:v>Sample mean (x-bar)</x:v>
      </x:c>
      <x:c r="B6" s="174" t="n">
        <x:v>1200</x:v>
      </x:c>
      <x:c r="C6" s="33" t="str"/>
      <x:c r="D6" s="33" t="str">
        <x:v>Degrees of freedom</x:v>
      </x:c>
      <x:c r="E6" s="167" t="n">
        <x:f>B8-1</x:f>
        <x:v>99</x:v>
      </x:c>
      <x:c r="F6" s="33" t="str"/>
      <x:c r="G6" s="33" t="str"/>
      <x:c r="H6" s="33" t="str"/>
    </x:row>
    <x:row r="7" ht="15" hidden="0" customHeight="1">
      <x:c r="A7" s="33" t="str">
        <x:v>Sample std dev (s)</x:v>
      </x:c>
      <x:c r="B7" s="174" t="n">
        <x:v>150</x:v>
      </x:c>
      <x:c r="C7" s="33" t="str"/>
      <x:c r="D7" s="33" t="str">
        <x:v>Critical t*</x:v>
      </x:c>
      <x:c r="E7" s="167" t="n">
        <x:f>T.INV(1-(1-B9)/2,E6)</x:f>
        <x:v>1.6603910956864805</x:v>
      </x:c>
      <x:c r="F7" s="33" t="str"/>
      <x:c r="G7" s="33" t="str"/>
      <x:c r="H7" s="33" t="str"/>
    </x:row>
    <x:row r="8" ht="15" hidden="0" customHeight="1">
      <x:c r="A8" s="33" t="str">
        <x:v>Sample size (n)</x:v>
      </x:c>
      <x:c r="B8" s="174" t="n">
        <x:v>100</x:v>
      </x:c>
      <x:c r="C8" s="33" t="str"/>
      <x:c r="D8" s="33" t="str">
        <x:v>Standard Error</x:v>
      </x:c>
      <x:c r="E8" s="167" t="n">
        <x:f>B7/SQRT(B8)</x:f>
        <x:v>15</x:v>
      </x:c>
      <x:c r="F8" s="33" t="str"/>
      <x:c r="G8" s="33" t="str"/>
      <x:c r="H8" s="33" t="str"/>
    </x:row>
    <x:row r="9" ht="15" hidden="0" customHeight="1">
      <x:c r="A9" s="33" t="str">
        <x:v>Confidence level</x:v>
      </x:c>
      <x:c r="B9" s="174" t="n">
        <x:v>0.9</x:v>
      </x:c>
      <x:c r="C9" s="33" t="str"/>
      <x:c r="D9" s="33" t="str">
        <x:v>Margin of Error</x:v>
      </x:c>
      <x:c r="E9" s="167" t="n">
        <x:f>E7*E8</x:f>
        <x:v>24.905866435297206</x:v>
      </x:c>
      <x:c r="F9" s="33" t="str"/>
      <x:c r="G9" s="33" t="str"/>
      <x:c r="H9" s="33" t="str"/>
    </x:row>
    <x:row r="10" ht="15" hidden="0" customHeight="1">
      <x:c r="A10" s="33" t="str"/>
      <x:c r="B10" s="33" t="str"/>
      <x:c r="C10" s="33" t="str"/>
      <x:c r="D10" s="33" t="str">
        <x:v>Lower Limit</x:v>
      </x:c>
      <x:c r="E10" s="167" t="n">
        <x:f>B6-E9</x:f>
        <x:v>1175.0941335647028</x:v>
      </x:c>
      <x:c r="F10" s="33" t="str"/>
      <x:c r="G10" s="33" t="str"/>
      <x:c r="H10" s="33" t="str"/>
    </x:row>
    <x:row r="11" ht="15" hidden="0" customHeight="1">
      <x:c r="A11" s="33" t="str"/>
      <x:c r="B11" s="33" t="str"/>
      <x:c r="C11" s="33" t="str"/>
      <x:c r="D11" s="33" t="str">
        <x:v>Upper Limit</x:v>
      </x:c>
      <x:c r="E11" s="167" t="n">
        <x:f>B6+E9</x:f>
        <x:v>1224.9058664352972</x:v>
      </x:c>
      <x:c r="F11" s="33" t="str"/>
      <x:c r="G11" s="33" t="str"/>
      <x:c r="H11" s="33" t="str"/>
    </x:row>
    <x:row r="12" ht="15" hidden="0" customHeight="1">
      <x:c r="A12" s="33" t="str"/>
      <x:c r="B12" s="33" t="str"/>
      <x:c r="C12" s="33" t="str"/>
      <x:c r="D12" s="33" t="str"/>
      <x:c r="E12" s="33"/>
      <x:c r="F12" s="33" t="str"/>
      <x:c r="G12" s="33" t="str"/>
      <x:c r="H12" s="33" t="str"/>
    </x:row>
    <x:row r="13" ht="26.399999618530273" hidden="0" customHeight="1">
      <x:c r="A13" s="33" t="str">
        <x:v>CONFIDENCE INTERVAL FOR MEAN - population std dev known (z interval)</x:v>
      </x:c>
      <x:c r="B13" s="33" t="str"/>
      <x:c r="C13" s="33" t="str"/>
      <x:c r="D13" s="33" t="str"/>
      <x:c r="E13" s="33"/>
      <x:c r="F13" s="33" t="str"/>
      <x:c r="G13" s="33" t="str"/>
      <x:c r="H13" s="33" t="str"/>
    </x:row>
    <x:row r="14" ht="15" hidden="0" customHeight="1">
      <x:c r="A14" s="33" t="str">
        <x:v>Input</x:v>
      </x:c>
      <x:c r="B14" s="33" t="str">
        <x:v>Value</x:v>
      </x:c>
      <x:c r="C14" s="33" t="str"/>
      <x:c r="D14" s="33" t="str">
        <x:v>Output</x:v>
      </x:c>
      <x:c r="E14" s="33"/>
      <x:c r="F14" s="33" t="str">
        <x:v>Formula / Meaning</x:v>
      </x:c>
      <x:c r="G14" s="33" t="str"/>
      <x:c r="H14" s="33" t="str"/>
    </x:row>
    <x:row r="15" ht="15" hidden="0" customHeight="1">
      <x:c r="A15" s="144" t="str">
        <x:v>Sample mean (x-bar)</x:v>
      </x:c>
      <x:c r="B15" s="178" t="n">
        <x:v>1200</x:v>
      </x:c>
      <x:c r="C15" s="144" t="str"/>
      <x:c r="D15" s="144" t="str">
        <x:v>Critical z*</x:v>
      </x:c>
      <x:c r="E15" s="170" t="n">
        <x:f>NORM.S.INV(1-(1-B18)/2)</x:f>
        <x:v>1.6448536269514724</x:v>
      </x:c>
      <x:c r="F15" s="144" t="str"/>
      <x:c r="G15" s="144" t="str"/>
      <x:c r="H15" s="144" t="str"/>
    </x:row>
    <x:row r="16" ht="15" hidden="0" customHeight="1">
      <x:c r="A16" s="145" t="str">
        <x:v>Population std dev (σ)</x:v>
      </x:c>
      <x:c r="B16" s="179" t="n">
        <x:v>150</x:v>
      </x:c>
      <x:c r="C16" s="145" t="str"/>
      <x:c r="D16" s="145" t="str">
        <x:v>Standard Error</x:v>
      </x:c>
      <x:c r="E16" s="171" t="n">
        <x:f>B16/SQRT(B17)</x:f>
        <x:v>15</x:v>
      </x:c>
      <x:c r="F16" s="145" t="str"/>
      <x:c r="G16" s="145" t="str"/>
      <x:c r="H16" s="145" t="str"/>
    </x:row>
    <x:row r="17" ht="15" hidden="0" customHeight="1">
      <x:c r="A17" s="33" t="str">
        <x:v>Sample size (n)</x:v>
      </x:c>
      <x:c r="B17" s="174" t="n">
        <x:v>100</x:v>
      </x:c>
      <x:c r="C17" s="33" t="str"/>
      <x:c r="D17" s="33" t="str">
        <x:v>Margin of Error</x:v>
      </x:c>
      <x:c r="E17" s="167" t="n">
        <x:f>E15*E16</x:f>
        <x:v>24.672804404272085</x:v>
      </x:c>
      <x:c r="F17" s="33" t="str"/>
      <x:c r="G17" s="33" t="str"/>
      <x:c r="H17" s="33" t="str"/>
    </x:row>
    <x:row r="18" ht="15" hidden="0" customHeight="1">
      <x:c r="A18" s="33" t="str">
        <x:v>Confidence level</x:v>
      </x:c>
      <x:c r="B18" s="174" t="n">
        <x:v>0.9</x:v>
      </x:c>
      <x:c r="C18" s="33" t="str"/>
      <x:c r="D18" s="33" t="str">
        <x:v>Lower Limit</x:v>
      </x:c>
      <x:c r="E18" s="167" t="n">
        <x:f>B15-E17</x:f>
        <x:v>1175.327195595728</x:v>
      </x:c>
      <x:c r="F18" s="33" t="str"/>
      <x:c r="G18" s="33" t="str"/>
      <x:c r="H18" s="33" t="str"/>
    </x:row>
    <x:row r="19" ht="15" hidden="0" customHeight="1">
      <x:c r="A19" s="33" t="str"/>
      <x:c r="B19" s="148" t="str"/>
      <x:c r="C19" s="33" t="str"/>
      <x:c r="D19" s="33" t="str">
        <x:v>Upper Limit</x:v>
      </x:c>
      <x:c r="E19" s="167" t="n">
        <x:f>B15+E17</x:f>
        <x:v>1224.672804404272</x:v>
      </x:c>
      <x:c r="F19" s="33" t="str"/>
      <x:c r="G19" s="33" t="str"/>
      <x:c r="H19" s="33" t="str"/>
    </x:row>
    <x:row r="20" ht="15" hidden="0" customHeight="1">
      <x:c r="A20" s="33" t="str"/>
      <x:c r="B20" s="33" t="str"/>
      <x:c r="C20" s="33" t="str"/>
      <x:c r="D20" s="33" t="str"/>
      <x:c r="E20" s="149"/>
      <x:c r="F20" s="33" t="str"/>
      <x:c r="G20" s="33" t="str"/>
      <x:c r="H20" s="33" t="str"/>
    </x:row>
    <x:row r="21" ht="15" hidden="0" customHeight="1">
      <x:c r="A21" s="33" t="str">
        <x:v>CONFIDENCE INTERVAL FOR PROPORTION</x:v>
      </x:c>
      <x:c r="B21" s="33" t="str"/>
      <x:c r="C21" s="33" t="str"/>
      <x:c r="D21" s="33" t="str"/>
      <x:c r="E21" s="149"/>
      <x:c r="F21" s="33" t="str"/>
      <x:c r="G21" s="33" t="str"/>
      <x:c r="H21" s="33" t="str"/>
    </x:row>
    <x:row r="22" ht="15" hidden="0" customHeight="1">
      <x:c r="A22" s="33" t="str">
        <x:v>Input</x:v>
      </x:c>
      <x:c r="B22" s="33" t="str">
        <x:v>Value</x:v>
      </x:c>
      <x:c r="C22" s="33" t="str"/>
      <x:c r="D22" s="33" t="str">
        <x:v>Output</x:v>
      </x:c>
      <x:c r="E22" s="33"/>
      <x:c r="F22" s="33" t="str">
        <x:v>Formula / Meaning</x:v>
      </x:c>
      <x:c r="G22" s="33" t="str"/>
      <x:c r="H22" s="33" t="str"/>
    </x:row>
    <x:row r="23" ht="15" hidden="0" customHeight="1">
      <x:c r="A23" s="33" t="str">
        <x:v>Number with characteristic (x)</x:v>
      </x:c>
      <x:c r="B23" s="174" t="n">
        <x:v>1197</x:v>
      </x:c>
      <x:c r="C23" s="33" t="str"/>
      <x:c r="D23" s="33" t="str">
        <x:v>Sample proportion (p-hat)</x:v>
      </x:c>
      <x:c r="E23" s="167" t="n">
        <x:f>B23/B24</x:f>
        <x:v>0.3154981549815498</x:v>
      </x:c>
      <x:c r="F23" s="33" t="str"/>
      <x:c r="G23" s="33" t="str"/>
      <x:c r="H23" s="33" t="str"/>
    </x:row>
    <x:row r="24" ht="15" hidden="0" customHeight="1">
      <x:c r="A24" s="33" t="str">
        <x:v>Sample size (n)</x:v>
      </x:c>
      <x:c r="B24" s="174" t="n">
        <x:v>3794</x:v>
      </x:c>
      <x:c r="C24" s="33" t="str"/>
      <x:c r="D24" s="33" t="str">
        <x:v>Critical z*</x:v>
      </x:c>
      <x:c r="E24" s="167" t="n">
        <x:f>NORM.S.INV(1-(1-B25)/2)</x:f>
        <x:v>1.9599639845400545</x:v>
      </x:c>
      <x:c r="F24" s="33" t="str"/>
      <x:c r="G24" s="33" t="str"/>
      <x:c r="H24" s="33" t="str"/>
    </x:row>
    <x:row r="25" ht="15" hidden="0" customHeight="1">
      <x:c r="A25" s="144" t="str">
        <x:v>Confidence level</x:v>
      </x:c>
      <x:c r="B25" s="178" t="n">
        <x:v>0.95</x:v>
      </x:c>
      <x:c r="C25" s="144" t="str"/>
      <x:c r="D25" s="144" t="str">
        <x:v>Standard Error</x:v>
      </x:c>
      <x:c r="E25" s="170" t="n">
        <x:f>SQRT(E23*(1-E23)/B24)</x:f>
        <x:v>0.007544614608453264</x:v>
      </x:c>
      <x:c r="F25" s="144" t="str"/>
      <x:c r="G25" s="144" t="str"/>
      <x:c r="H25" s="144" t="str"/>
    </x:row>
    <x:row r="26" ht="15" hidden="0" customHeight="1">
      <x:c r="A26" s="145" t="str"/>
      <x:c r="B26" s="145" t="str"/>
      <x:c r="C26" s="145" t="str"/>
      <x:c r="D26" s="145" t="str">
        <x:v>Margin of Error</x:v>
      </x:c>
      <x:c r="E26" s="171" t="n">
        <x:f>E24*E25</x:f>
        <x:v>0.014787172909803163</x:v>
      </x:c>
      <x:c r="F26" s="145" t="str"/>
      <x:c r="G26" s="145" t="str"/>
      <x:c r="H26" s="145" t="str"/>
    </x:row>
    <x:row r="27" ht="15" hidden="0" customHeight="1">
      <x:c r="A27" s="33" t="str"/>
      <x:c r="B27" s="148" t="str"/>
      <x:c r="C27" s="33" t="str"/>
      <x:c r="D27" s="33" t="str">
        <x:v>Lower Limit</x:v>
      </x:c>
      <x:c r="E27" s="167" t="n">
        <x:f>E23-E26</x:f>
        <x:v>0.3007109820717467</x:v>
      </x:c>
      <x:c r="F27" s="33" t="str"/>
      <x:c r="G27" s="33" t="str"/>
      <x:c r="H27" s="33" t="str"/>
    </x:row>
    <x:row r="28" ht="15" hidden="0" customHeight="1">
      <x:c r="A28" s="33" t="str"/>
      <x:c r="B28" s="148" t="str"/>
      <x:c r="C28" s="33" t="str"/>
      <x:c r="D28" s="33" t="str">
        <x:v>Upper Limit</x:v>
      </x:c>
      <x:c r="E28" s="167" t="n">
        <x:f>E23+E26</x:f>
        <x:v>0.33028532789135295</x:v>
      </x:c>
      <x:c r="F28" s="33" t="str"/>
      <x:c r="G28" s="33" t="str"/>
      <x:c r="H28" s="33" t="str"/>
    </x:row>
    <x:row r="29" ht="15" hidden="0" customHeight="1">
      <x:c r="A29" s="33" t="str"/>
      <x:c r="B29" s="148" t="str"/>
      <x:c r="C29" s="33" t="str"/>
      <x:c r="D29" s="33" t="str"/>
      <x:c r="E29" s="149"/>
      <x:c r="F29" s="33" t="str"/>
      <x:c r="G29" s="33" t="str"/>
      <x:c r="H29" s="33" t="str"/>
    </x:row>
    <x:row r="30" ht="26.399999618530273" hidden="0" customHeight="1">
      <x:c r="A30" s="33" t="str">
        <x:v>SAMPLE SIZE NEEDED FOR ESTIMATING A MEAN</x:v>
      </x:c>
      <x:c r="B30" s="33" t="str"/>
      <x:c r="C30" s="33" t="str"/>
      <x:c r="D30" s="33" t="str"/>
      <x:c r="E30" s="149"/>
      <x:c r="F30" s="33" t="str"/>
      <x:c r="G30" s="33" t="str"/>
      <x:c r="H30" s="33" t="str"/>
    </x:row>
    <x:row r="31" ht="15" hidden="0" customHeight="1">
      <x:c r="A31" s="33" t="str">
        <x:v>Input</x:v>
      </x:c>
      <x:c r="B31" s="33" t="str">
        <x:v>Value</x:v>
      </x:c>
      <x:c r="C31" s="33" t="str"/>
      <x:c r="D31" s="33" t="str">
        <x:v>Output</x:v>
      </x:c>
      <x:c r="E31" s="149"/>
      <x:c r="F31" s="33" t="str">
        <x:v>Formula / Meaning</x:v>
      </x:c>
      <x:c r="G31" s="33" t="str"/>
      <x:c r="H31" s="33" t="str"/>
    </x:row>
    <x:row r="32" ht="15" hidden="0" customHeight="1">
      <x:c r="A32" s="33" t="str">
        <x:v>Estimated std dev (σ)</x:v>
      </x:c>
      <x:c r="B32" s="174" t="n">
        <x:v>48</x:v>
      </x:c>
      <x:c r="C32" s="33" t="str"/>
      <x:c r="D32" s="33" t="str">
        <x:v>Critical z*</x:v>
      </x:c>
      <x:c r="E32" s="167" t="n">
        <x:f>NORM.S.INV(1-(1-B34)/2)</x:f>
        <x:v>1.6448536269514724</x:v>
      </x:c>
      <x:c r="F32" s="33" t="str"/>
      <x:c r="G32" s="33" t="str"/>
      <x:c r="H32" s="33" t="str"/>
    </x:row>
    <x:row r="33" ht="15" hidden="0" customHeight="1">
      <x:c r="A33" s="33" t="str">
        <x:v>Margin of error (E)</x:v>
      </x:c>
      <x:c r="B33" s="174" t="n">
        <x:v>5</x:v>
      </x:c>
      <x:c r="C33" s="33" t="str"/>
      <x:c r="D33" s="33" t="str">
        <x:v>Raw n</x:v>
      </x:c>
      <x:c r="E33" s="167" t="n">
        <x:f>((E32*B32)/B33)^2</x:f>
        <x:v>249.3428847294333</x:v>
      </x:c>
      <x:c r="F33" s="33" t="str"/>
      <x:c r="G33" s="33" t="str"/>
      <x:c r="H33" s="33" t="str"/>
    </x:row>
    <x:row r="34" ht="15" hidden="0" customHeight="1">
      <x:c r="A34" s="33" t="str">
        <x:v>Confidence level</x:v>
      </x:c>
      <x:c r="B34" s="174" t="n">
        <x:v>0.9</x:v>
      </x:c>
      <x:c r="C34" s="33" t="str"/>
      <x:c r="D34" s="33" t="str">
        <x:v>Required sample size</x:v>
      </x:c>
      <x:c r="E34" s="173" t="n">
        <x:f>ROUNDUP(E33,0)</x:f>
        <x:v>250</x:v>
      </x:c>
      <x:c r="F34" s="33" t="str"/>
      <x:c r="G34" s="33" t="str"/>
      <x:c r="H34" s="33" t="str"/>
    </x:row>
    <x:row r="35" ht="15" hidden="0" customHeight="1">
      <x:c r="A35" s="33" t="str"/>
      <x:c r="B35" s="33" t="str"/>
      <x:c r="C35" s="33" t="str"/>
      <x:c r="D35" s="33" t="str"/>
      <x:c r="E35" s="33"/>
      <x:c r="F35" s="33" t="str"/>
      <x:c r="G35" s="33" t="str"/>
      <x:c r="H35" s="33" t="str"/>
    </x:row>
    <x:row r="36" ht="26.399999618530273" hidden="0" customHeight="1">
      <x:c r="A36" s="144" t="str">
        <x:v>SAMPLE SIZE NEEDED FOR ESTIMATING A PROPORTION</x:v>
      </x:c>
      <x:c r="B36" s="144" t="str"/>
      <x:c r="C36" s="144" t="str"/>
      <x:c r="D36" s="144" t="str"/>
      <x:c r="E36" s="144"/>
      <x:c r="F36" s="144" t="str"/>
      <x:c r="G36" s="144" t="str"/>
      <x:c r="H36" s="144" t="str"/>
    </x:row>
    <x:row r="37" ht="15" hidden="0" customHeight="1">
      <x:c r="A37" s="145" t="str">
        <x:v>Input</x:v>
      </x:c>
      <x:c r="B37" s="145" t="str">
        <x:v>Value</x:v>
      </x:c>
      <x:c r="C37" s="145" t="str"/>
      <x:c r="D37" s="145" t="str">
        <x:v>Output</x:v>
      </x:c>
      <x:c r="E37" s="145"/>
      <x:c r="F37" s="145" t="str">
        <x:v>Formula / Meaning</x:v>
      </x:c>
      <x:c r="G37" s="145" t="str"/>
      <x:c r="H37" s="145" t="str"/>
    </x:row>
    <x:row r="38" ht="15" hidden="0" customHeight="1">
      <x:c r="A38" s="33" t="str">
        <x:v>Estimated proportion (p-hat)</x:v>
      </x:c>
      <x:c r="B38" s="174" t="n">
        <x:v>0.5</x:v>
      </x:c>
      <x:c r="C38" s="33" t="str"/>
      <x:c r="D38" s="33" t="str">
        <x:v>Critical z*</x:v>
      </x:c>
      <x:c r="E38" s="167" t="n">
        <x:f>NORM.S.INV(1-(1-B40)/2)</x:f>
        <x:v>1.9599639845400545</x:v>
      </x:c>
      <x:c r="F38" s="33" t="str"/>
      <x:c r="G38" s="33" t="str"/>
      <x:c r="H38" s="33" t="str"/>
    </x:row>
    <x:row r="39" ht="15" hidden="0" customHeight="1">
      <x:c r="A39" s="33" t="str">
        <x:v>Margin of error (E)</x:v>
      </x:c>
      <x:c r="B39" s="174" t="n">
        <x:v>0.05</x:v>
      </x:c>
      <x:c r="C39" s="33" t="str"/>
      <x:c r="D39" s="33" t="str">
        <x:v>Raw n</x:v>
      </x:c>
      <x:c r="E39" s="167" t="n">
        <x:f>(E38^2*B38*(1-B38))/(B39^2)</x:f>
        <x:v>384.14588206941266</x:v>
      </x:c>
      <x:c r="F39" s="33" t="str"/>
      <x:c r="G39" s="33" t="str"/>
      <x:c r="H39" s="33" t="str"/>
    </x:row>
    <x:row r="40" ht="15" hidden="0" customHeight="1">
      <x:c r="A40" s="33" t="str">
        <x:v>Confidence level</x:v>
      </x:c>
      <x:c r="B40" s="174" t="n">
        <x:v>0.95</x:v>
      </x:c>
      <x:c r="C40" s="33" t="str"/>
      <x:c r="D40" s="33" t="str">
        <x:v>Required sample size</x:v>
      </x:c>
      <x:c r="E40" s="173" t="n">
        <x:f>ROUNDUP(E39,0)</x:f>
        <x:v>385</x:v>
      </x:c>
      <x:c r="F40" s="33" t="str"/>
      <x:c r="G40" s="33" t="str"/>
      <x:c r="H40" s="33" t="str"/>
    </x:row>
    <x:row r="41" ht="15" hidden="0" customHeight="1">
      <x:c r="A41" s="33" t="str"/>
      <x:c r="B41" s="33" t="str"/>
      <x:c r="C41" s="33" t="str"/>
      <x:c r="D41" s="33" t="str"/>
      <x:c r="E41" s="33"/>
      <x:c r="F41" s="33" t="str"/>
      <x:c r="G41" s="33" t="str"/>
      <x:c r="H41" s="33" t="str"/>
    </x:row>
    <x:row r="42" ht="15" hidden="0" customHeight="1">
      <x:c r="A42" s="144" t="str">
        <x:v>Quick guide</x:v>
      </x:c>
      <x:c r="B42" s="144" t="str"/>
      <x:c r="C42" s="144" t="str"/>
      <x:c r="D42" s="144" t="str"/>
      <x:c r="E42" s="144"/>
      <x:c r="F42" s="144" t="str"/>
      <x:c r="G42" s="144" t="str"/>
      <x:c r="H42" s="144" t="str"/>
    </x:row>
    <x:row r="43" ht="39.599998474121094" hidden="0" customHeight="1">
      <x:c r="A43" s="145" t="str">
        <x:v>Use t interval when the problem gives sample standard deviation s and population σ is unknown.</x:v>
      </x:c>
      <x:c r="B43" s="145" t="str"/>
      <x:c r="C43" s="145" t="str"/>
      <x:c r="D43" s="145" t="str"/>
      <x:c r="E43" s="145"/>
      <x:c r="F43" s="145" t="str"/>
      <x:c r="G43" s="145" t="str"/>
      <x:c r="H43" s="145" t="str"/>
    </x:row>
    <x:row r="44" ht="26.399999618530273" hidden="0" customHeight="1">
      <x:c r="A44" s="33" t="str">
        <x:v>Use z interval when population standard deviation σ is known.</x:v>
      </x:c>
      <x:c r="B44" s="33" t="str"/>
      <x:c r="C44" s="33" t="str"/>
      <x:c r="D44" s="33" t="str"/>
      <x:c r="E44" s="33"/>
      <x:c r="F44" s="33" t="str"/>
      <x:c r="G44" s="33" t="str"/>
      <x:c r="H44" s="33" t="str"/>
    </x:row>
    <x:row r="45" ht="26.399999618530273" hidden="0" customHeight="1">
      <x:c r="A45" s="33" t="str">
        <x:v>Use proportion interval when the problem gives a count out of a total sample.</x:v>
      </x:c>
      <x:c r="B45" s="148" t="str"/>
      <x:c r="C45" s="33" t="str"/>
      <x:c r="D45" s="33" t="str"/>
      <x:c r="E45" s="149"/>
      <x:c r="F45" s="33" t="str"/>
      <x:c r="G45" s="33" t="str"/>
      <x:c r="H45" s="33" t="str"/>
    </x:row>
    <x:row r="46" ht="26.399999618530273" hidden="0" customHeight="1">
      <x:c r="A46" s="33" t="str">
        <x:v>Always round sample size UP, even if the decimal is small.</x:v>
      </x:c>
      <x:c r="B46" s="148" t="str"/>
      <x:c r="C46" s="33" t="str"/>
      <x:c r="D46" s="33" t="str"/>
      <x:c r="E46" s="149"/>
      <x:c r="F46" s="33" t="str"/>
      <x:c r="G46" s="33" t="str"/>
      <x:c r="H46" s="33" t="str"/>
    </x:row>
    <x:row r="47" ht="15" hidden="0" customHeight="1">
      <x:c r="A47" s="33"/>
      <x:c r="B47" s="148"/>
      <x:c r="C47" s="33"/>
      <x:c r="D47" s="33"/>
      <x:c r="E47" s="150"/>
      <x:c r="F47" s="33"/>
      <x:c r="G47" s="33"/>
      <x:c r="H47" s="33"/>
    </x:row>
    <x:row r="48" ht="15" hidden="0" customHeight="1">
      <x:c r="A48" s="33"/>
      <x:c r="B48" s="33"/>
      <x:c r="C48" s="33"/>
      <x:c r="D48" s="33"/>
      <x:c r="E48" s="33"/>
      <x:c r="F48" s="33"/>
      <x:c r="G48" s="33"/>
      <x:c r="H48" s="33"/>
    </x:row>
    <x:row r="49" ht="15" hidden="0" customHeight="1">
      <x:c r="A49" s="144"/>
      <x:c r="B49" s="144"/>
      <x:c r="C49" s="144"/>
      <x:c r="D49" s="144"/>
      <x:c r="E49" s="144"/>
      <x:c r="F49" s="144"/>
      <x:c r="G49" s="144"/>
      <x:c r="H49" s="144"/>
    </x:row>
    <x:row r="50" ht="15" hidden="0" customHeight="1">
      <x:c r="A50" s="33"/>
      <x:c r="B50" s="33"/>
      <x:c r="C50" s="33"/>
      <x:c r="D50" s="33"/>
      <x:c r="E50" s="33"/>
      <x:c r="F50" s="33"/>
      <x:c r="G50" s="33"/>
      <x:c r="H50" s="33"/>
    </x:row>
    <x:row r="51" ht="15" hidden="0" customHeight="1">
      <x:c r="A51" s="33"/>
      <x:c r="B51" s="33"/>
      <x:c r="C51" s="33"/>
      <x:c r="D51" s="33"/>
      <x:c r="E51" s="33"/>
      <x:c r="F51" s="33"/>
      <x:c r="G51" s="33"/>
      <x:c r="H51" s="33"/>
    </x:row>
    <x:row r="52" ht="15" hidden="0" customHeight="1">
      <x:c r="A52" s="33"/>
      <x:c r="B52" s="33"/>
      <x:c r="C52" s="33"/>
      <x:c r="D52" s="33"/>
      <x:c r="E52" s="33"/>
      <x:c r="F52" s="33"/>
      <x:c r="G52" s="33"/>
      <x:c r="H52" s="33"/>
    </x:row>
  </x:sheetData>
  <x:mergeCells>
    <x:mergeCell ref="A1:H1"/>
    <x:mergeCell ref="A2:H2"/>
  </x:mergeCells>
  <x:pageMargins left="0.7" right="0.7" top="0.75" bottom="0.75" header="0.3" footer="0.3"/>
</x:worksheet>
</file>